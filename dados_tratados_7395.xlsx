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dro\Excel\Trabalhos para divulgar\Trabalho tabela SIDRA\"/>
    </mc:Choice>
  </mc:AlternateContent>
  <xr:revisionPtr revIDLastSave="0" documentId="13_ncr:1_{D5F911A1-1839-4851-B2EE-00A4B4E016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ões" sheetId="1" r:id="rId1"/>
    <sheet name="Estados" sheetId="4" r:id="rId2"/>
    <sheet name="Capitais" sheetId="3" r:id="rId3"/>
    <sheet name="Maiores rendas" sheetId="6" r:id="rId4"/>
    <sheet name="Notas" sheetId="2" r:id="rId5"/>
  </sheets>
  <definedNames>
    <definedName name="_xlnm._FilterDatabase" localSheetId="2" hidden="1">Capitais!$A$1:$C$25</definedName>
    <definedName name="_xlnm._FilterDatabase" localSheetId="1" hidden="1">Estados!$A$1:$C$28</definedName>
    <definedName name="_xlnm._FilterDatabase" localSheetId="3" hidden="1">'Maiores rendas'!$A$1:$B$1</definedName>
    <definedName name="_xlnm._FilterDatabase" localSheetId="0" hidden="1">Regiões!$A$1:$D$7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C25" i="3"/>
  <c r="C24" i="3"/>
  <c r="C23" i="3"/>
  <c r="C31" i="4"/>
  <c r="C29" i="4"/>
  <c r="F2" i="1"/>
  <c r="E2" i="1"/>
</calcChain>
</file>

<file path=xl/sharedStrings.xml><?xml version="1.0" encoding="utf-8"?>
<sst xmlns="http://schemas.openxmlformats.org/spreadsheetml/2006/main" count="184" uniqueCount="143">
  <si>
    <t>Nível</t>
  </si>
  <si>
    <t>Cód.</t>
  </si>
  <si>
    <t>BR</t>
  </si>
  <si>
    <t>1</t>
  </si>
  <si>
    <t>Brasil</t>
  </si>
  <si>
    <t>GR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</si>
  <si>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</si>
  <si>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</si>
  <si>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</si>
  <si>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</si>
  <si>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</si>
  <si>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</si>
  <si>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</si>
  <si>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</si>
  <si>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</si>
  <si>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</si>
  <si>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</si>
  <si>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</si>
  <si>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</si>
  <si>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</si>
  <si>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</si>
  <si>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</si>
  <si>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</si>
  <si>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</si>
  <si>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</si>
  <si>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</si>
  <si>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</si>
  <si>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</si>
  <si>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</si>
  <si>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</si>
  <si>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</si>
  <si>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</si>
  <si>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</si>
  <si>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</si>
  <si>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</si>
  <si>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</si>
  <si>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</si>
  <si>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</si>
  <si>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</si>
  <si>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</si>
  <si>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</si>
  <si>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</si>
  <si>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</si>
  <si>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</si>
  <si>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</si>
  <si>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</si>
  <si>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</si>
  <si>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</si>
  <si>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</si>
  <si>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</si>
  <si>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</si>
  <si>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</si>
  <si>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</si>
  <si>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</si>
  <si>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</si>
  <si>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</si>
  <si>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</si>
  <si>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</si>
  <si>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</si>
  <si>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</si>
  <si>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</si>
  <si>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</si>
  <si>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</si>
  <si>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</si>
  <si>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</si>
  <si>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</si>
  <si>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</si>
  <si>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</si>
  <si>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</si>
  <si>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</si>
  <si>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1301</t>
  </si>
  <si>
    <t>Manaus (AM)</t>
  </si>
  <si>
    <t>1501</t>
  </si>
  <si>
    <t>Belém (PA)</t>
  </si>
  <si>
    <t>1601</t>
  </si>
  <si>
    <t>Macapá (AP)</t>
  </si>
  <si>
    <t>2101</t>
  </si>
  <si>
    <t>Grande São Luís (MA)</t>
  </si>
  <si>
    <t>2301</t>
  </si>
  <si>
    <t>Fortaleza (CE)</t>
  </si>
  <si>
    <t>2401</t>
  </si>
  <si>
    <t>Natal (RN)</t>
  </si>
  <si>
    <t>2501</t>
  </si>
  <si>
    <t>João Pessoa (PB)</t>
  </si>
  <si>
    <t>2601</t>
  </si>
  <si>
    <t>Recife (PE)</t>
  </si>
  <si>
    <t>2701</t>
  </si>
  <si>
    <t>Maceió (AL)</t>
  </si>
  <si>
    <t>2801</t>
  </si>
  <si>
    <t>Aracaju (SE)</t>
  </si>
  <si>
    <t>2901</t>
  </si>
  <si>
    <t>Salvador (BA)</t>
  </si>
  <si>
    <t>3101</t>
  </si>
  <si>
    <t>Belo Horizonte (MG)</t>
  </si>
  <si>
    <t>3201</t>
  </si>
  <si>
    <t>Grande Vitória (ES)</t>
  </si>
  <si>
    <t>3301</t>
  </si>
  <si>
    <t>Rio de Janeiro (RJ)</t>
  </si>
  <si>
    <t>3501</t>
  </si>
  <si>
    <t>São Paulo (SP)</t>
  </si>
  <si>
    <t>4101</t>
  </si>
  <si>
    <t>Curitiba (PR)</t>
  </si>
  <si>
    <t>4201</t>
  </si>
  <si>
    <t>Florianópolis (SC)</t>
  </si>
  <si>
    <t>4301</t>
  </si>
  <si>
    <t>Porto Alegre (RS)</t>
  </si>
  <si>
    <t>5101</t>
  </si>
  <si>
    <t>Vale do Rio Cuiabá (MT)</t>
  </si>
  <si>
    <t>5201</t>
  </si>
  <si>
    <t>Goiânia (GO)</t>
  </si>
  <si>
    <t>510</t>
  </si>
  <si>
    <t>Grande Teresina</t>
  </si>
  <si>
    <t>Fonte: IBGE - Pesquisa Nacional por Amostra de Domicílios Contínua Anual - 4º trimestre</t>
  </si>
  <si>
    <t>Notas</t>
  </si>
  <si>
    <t>O rendimento real é obtido conforme deflacionamento especificado nas Notas Técnicas da PNAD Contínua.
Exclusive as pessoas cuja condição no domicílio era "Pensionista", "Empregado doméstico" ou "Parente de empregado doméstico".
O rendimento de trabalho é captado somente para pessoas de 14 anos ou mais de idade.
A partir de 30 de novembro de 2021, as estimativas deste tema passaram a ser divulgadas com base no novo método de ponderação da pesquisa, conforme a Nota Técnica 03/2021. Consequentemente, a série histórica dos indicadores foi atualizada.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</si>
  <si>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</si>
  <si>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</si>
  <si>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</si>
  <si>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</si>
  <si>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</si>
  <si>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</si>
  <si>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</si>
  <si>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</si>
  <si>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</si>
  <si>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</si>
  <si>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</si>
  <si>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</si>
  <si>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</si>
  <si>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</si>
  <si>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</si>
  <si>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Capitais</t>
  </si>
  <si>
    <t>Média total</t>
  </si>
  <si>
    <t>Mínimo</t>
  </si>
  <si>
    <t>Máximo</t>
  </si>
  <si>
    <t>Médias</t>
  </si>
  <si>
    <t>Estado</t>
  </si>
  <si>
    <t>Renda</t>
  </si>
  <si>
    <t>Números</t>
  </si>
  <si>
    <t>Mínima</t>
  </si>
  <si>
    <t>DF</t>
  </si>
  <si>
    <t>Valores</t>
  </si>
  <si>
    <t>Total</t>
  </si>
  <si>
    <t>Regiões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</si>
</sst>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Rendas regiões</a:t>
            </a:r>
          </a:p>
        </c:rich>
      </c:tx>
      <c:layout>
        <c:manualLayout>
          <c:xMode val="edge"/>
          <c:yMode val="edge"/>
          <c:x val="0.366006780402449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Regiões!$D$1</c:f>
              <c:strCache>
                <c:ptCount val="1"/>
                <c:pt idx="0">
                  <c:v>Médias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Regiões!$D$2:$D$7</c:f>
              <c:numCache>
                <c:formatCode>General</c:formatCode>
                <c:ptCount val="6"/>
                <c:pt idx="0">
                  <c:v>2068</c:v>
                </c:pt>
                <c:pt idx="1">
                  <c:v>1427</c:v>
                </c:pt>
                <c:pt idx="2">
                  <c:v>1340</c:v>
                </c:pt>
                <c:pt idx="3">
                  <c:v>2456</c:v>
                </c:pt>
                <c:pt idx="4">
                  <c:v>2500</c:v>
                </c:pt>
                <c:pt idx="5">
                  <c:v>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5-41BF-A6B2-21450C6D2431}"/>
            </c:ext>
          </c:extLst>
        </c:ser>
        <c:ser>
          <c:idx val="1"/>
          <c:order val="1"/>
          <c:tx>
            <c:strRef>
              <c:f>Regiões!$E$1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Regiões!$E$2:$E$7</c:f>
              <c:numCache>
                <c:formatCode>General</c:formatCode>
                <c:ptCount val="6"/>
                <c:pt idx="0">
                  <c:v>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5-41BF-A6B2-21450C6D2431}"/>
            </c:ext>
          </c:extLst>
        </c:ser>
        <c:ser>
          <c:idx val="2"/>
          <c:order val="2"/>
          <c:tx>
            <c:strRef>
              <c:f>Regiões!$F$1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Regiões!$F$2:$F$7</c:f>
              <c:numCache>
                <c:formatCode>General</c:formatCode>
                <c:ptCount val="6"/>
                <c:pt idx="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5-41BF-A6B2-21450C6D2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351880"/>
        <c:axId val="680352600"/>
      </c:barChart>
      <c:catAx>
        <c:axId val="68035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0352600"/>
        <c:crosses val="autoZero"/>
        <c:auto val="1"/>
        <c:lblAlgn val="ctr"/>
        <c:lblOffset val="100"/>
        <c:noMultiLvlLbl val="0"/>
      </c:catAx>
      <c:valAx>
        <c:axId val="68035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035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Rendas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Estados!$B$2:$B$28</c:f>
              <c:strCache>
                <c:ptCount val="27"/>
                <c:pt idx="0">
                  <c:v>Acre</c:v>
                </c:pt>
                <c:pt idx="1">
                  <c:v>Alagoas</c:v>
                </c:pt>
                <c:pt idx="2">
                  <c:v>Amapá</c:v>
                </c:pt>
                <c:pt idx="3">
                  <c:v>Amazonas</c:v>
                </c:pt>
                <c:pt idx="4">
                  <c:v>Bahia</c:v>
                </c:pt>
                <c:pt idx="5">
                  <c:v>Ceará</c:v>
                </c:pt>
                <c:pt idx="6">
                  <c:v>Distrito Federal</c:v>
                </c:pt>
                <c:pt idx="7">
                  <c:v>Espírito Santo</c:v>
                </c:pt>
                <c:pt idx="8">
                  <c:v>Goiás</c:v>
                </c:pt>
                <c:pt idx="9">
                  <c:v>Maranhão</c:v>
                </c:pt>
                <c:pt idx="10">
                  <c:v>Mato Grosso</c:v>
                </c:pt>
                <c:pt idx="11">
                  <c:v>Mato Grosso do Sul</c:v>
                </c:pt>
                <c:pt idx="12">
                  <c:v>Minas Gerais</c:v>
                </c:pt>
                <c:pt idx="13">
                  <c:v>Pará</c:v>
                </c:pt>
                <c:pt idx="14">
                  <c:v>Paraíba</c:v>
                </c:pt>
                <c:pt idx="15">
                  <c:v>Paraná</c:v>
                </c:pt>
                <c:pt idx="16">
                  <c:v>Pernambuco</c:v>
                </c:pt>
                <c:pt idx="17">
                  <c:v>Piauí</c:v>
                </c:pt>
                <c:pt idx="18">
                  <c:v>Rio de Janeiro</c:v>
                </c:pt>
                <c:pt idx="19">
                  <c:v>Rio Grande do Norte</c:v>
                </c:pt>
                <c:pt idx="20">
                  <c:v>Rio Grande do Sul</c:v>
                </c:pt>
                <c:pt idx="21">
                  <c:v>Rondônia</c:v>
                </c:pt>
                <c:pt idx="22">
                  <c:v>Roraima</c:v>
                </c:pt>
                <c:pt idx="23">
                  <c:v>Santa Catarina</c:v>
                </c:pt>
                <c:pt idx="24">
                  <c:v>São Paulo</c:v>
                </c:pt>
                <c:pt idx="25">
                  <c:v>Sergipe</c:v>
                </c:pt>
                <c:pt idx="26">
                  <c:v>Tocantins</c:v>
                </c:pt>
              </c:strCache>
            </c:strRef>
          </c:cat>
          <c:val>
            <c:numRef>
              <c:f>Estados!$C$2:$C$28</c:f>
              <c:numCache>
                <c:formatCode>General</c:formatCode>
                <c:ptCount val="27"/>
                <c:pt idx="0">
                  <c:v>1277</c:v>
                </c:pt>
                <c:pt idx="1">
                  <c:v>1303</c:v>
                </c:pt>
                <c:pt idx="2">
                  <c:v>1482</c:v>
                </c:pt>
                <c:pt idx="3">
                  <c:v>1268</c:v>
                </c:pt>
                <c:pt idx="4">
                  <c:v>1340</c:v>
                </c:pt>
                <c:pt idx="5">
                  <c:v>1247</c:v>
                </c:pt>
                <c:pt idx="6">
                  <c:v>3531</c:v>
                </c:pt>
                <c:pt idx="7">
                  <c:v>2071</c:v>
                </c:pt>
                <c:pt idx="8">
                  <c:v>2127</c:v>
                </c:pt>
                <c:pt idx="9">
                  <c:v>1103</c:v>
                </c:pt>
                <c:pt idx="10">
                  <c:v>2246</c:v>
                </c:pt>
                <c:pt idx="11">
                  <c:v>2160</c:v>
                </c:pt>
                <c:pt idx="12">
                  <c:v>2001</c:v>
                </c:pt>
                <c:pt idx="13">
                  <c:v>1364</c:v>
                </c:pt>
                <c:pt idx="14">
                  <c:v>1409</c:v>
                </c:pt>
                <c:pt idx="15">
                  <c:v>2391</c:v>
                </c:pt>
                <c:pt idx="16">
                  <c:v>1448</c:v>
                </c:pt>
                <c:pt idx="17">
                  <c:v>1427</c:v>
                </c:pt>
                <c:pt idx="18">
                  <c:v>2399</c:v>
                </c:pt>
                <c:pt idx="19">
                  <c:v>1542</c:v>
                </c:pt>
                <c:pt idx="20">
                  <c:v>2589</c:v>
                </c:pt>
                <c:pt idx="21">
                  <c:v>1750</c:v>
                </c:pt>
                <c:pt idx="22">
                  <c:v>1630</c:v>
                </c:pt>
                <c:pt idx="23">
                  <c:v>2535</c:v>
                </c:pt>
                <c:pt idx="24">
                  <c:v>2719</c:v>
                </c:pt>
                <c:pt idx="25">
                  <c:v>1480</c:v>
                </c:pt>
                <c:pt idx="26">
                  <c:v>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F-43D5-9ECA-20D809FCDF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91473520"/>
        <c:axId val="591468840"/>
      </c:barChart>
      <c:catAx>
        <c:axId val="59147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468840"/>
        <c:crosses val="autoZero"/>
        <c:auto val="1"/>
        <c:lblAlgn val="ctr"/>
        <c:lblOffset val="100"/>
        <c:noMultiLvlLbl val="0"/>
      </c:catAx>
      <c:valAx>
        <c:axId val="591468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147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Rendas</a:t>
            </a:r>
            <a:r>
              <a:rPr lang="pt-BR" baseline="0"/>
              <a:t> das Capitais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Capitais!$B$2:$B$22</c:f>
              <c:strCache>
                <c:ptCount val="21"/>
                <c:pt idx="0">
                  <c:v>Manaus (AM)</c:v>
                </c:pt>
                <c:pt idx="1">
                  <c:v>Belém (PA)</c:v>
                </c:pt>
                <c:pt idx="2">
                  <c:v>Macapá (AP)</c:v>
                </c:pt>
                <c:pt idx="3">
                  <c:v>Grande São Luís (MA)</c:v>
                </c:pt>
                <c:pt idx="4">
                  <c:v>Fortaleza (CE)</c:v>
                </c:pt>
                <c:pt idx="5">
                  <c:v>Natal (RN)</c:v>
                </c:pt>
                <c:pt idx="6">
                  <c:v>João Pessoa (PB)</c:v>
                </c:pt>
                <c:pt idx="7">
                  <c:v>Recife (PE)</c:v>
                </c:pt>
                <c:pt idx="8">
                  <c:v>Maceió (AL)</c:v>
                </c:pt>
                <c:pt idx="9">
                  <c:v>Aracaju (SE)</c:v>
                </c:pt>
                <c:pt idx="10">
                  <c:v>Salvador (BA)</c:v>
                </c:pt>
                <c:pt idx="11">
                  <c:v>Belo Horizonte (MG)</c:v>
                </c:pt>
                <c:pt idx="12">
                  <c:v>Grande Vitória (ES)</c:v>
                </c:pt>
                <c:pt idx="13">
                  <c:v>Rio de Janeiro (RJ)</c:v>
                </c:pt>
                <c:pt idx="14">
                  <c:v>São Paulo (SP)</c:v>
                </c:pt>
                <c:pt idx="15">
                  <c:v>Curitiba (PR)</c:v>
                </c:pt>
                <c:pt idx="16">
                  <c:v>Florianópolis (SC)</c:v>
                </c:pt>
                <c:pt idx="17">
                  <c:v>Porto Alegre (RS)</c:v>
                </c:pt>
                <c:pt idx="18">
                  <c:v>Vale do Rio Cuiabá (MT)</c:v>
                </c:pt>
                <c:pt idx="19">
                  <c:v>Goiânia (GO)</c:v>
                </c:pt>
                <c:pt idx="20">
                  <c:v>Grande Teresina</c:v>
                </c:pt>
              </c:strCache>
            </c:strRef>
          </c:cat>
          <c:val>
            <c:numRef>
              <c:f>Capitais!$C$2:$C$22</c:f>
              <c:numCache>
                <c:formatCode>General</c:formatCode>
                <c:ptCount val="21"/>
                <c:pt idx="0">
                  <c:v>1513</c:v>
                </c:pt>
                <c:pt idx="1">
                  <c:v>1919</c:v>
                </c:pt>
                <c:pt idx="2">
                  <c:v>1604</c:v>
                </c:pt>
                <c:pt idx="3">
                  <c:v>1564</c:v>
                </c:pt>
                <c:pt idx="4">
                  <c:v>1587</c:v>
                </c:pt>
                <c:pt idx="5">
                  <c:v>1974</c:v>
                </c:pt>
                <c:pt idx="6">
                  <c:v>1999</c:v>
                </c:pt>
                <c:pt idx="7">
                  <c:v>1911</c:v>
                </c:pt>
                <c:pt idx="8">
                  <c:v>1762</c:v>
                </c:pt>
                <c:pt idx="9">
                  <c:v>2026</c:v>
                </c:pt>
                <c:pt idx="10">
                  <c:v>1830</c:v>
                </c:pt>
                <c:pt idx="11">
                  <c:v>2520</c:v>
                </c:pt>
                <c:pt idx="12">
                  <c:v>2503</c:v>
                </c:pt>
                <c:pt idx="13">
                  <c:v>2630</c:v>
                </c:pt>
                <c:pt idx="14">
                  <c:v>3163</c:v>
                </c:pt>
                <c:pt idx="15">
                  <c:v>3015</c:v>
                </c:pt>
                <c:pt idx="16">
                  <c:v>3418</c:v>
                </c:pt>
                <c:pt idx="17">
                  <c:v>2959</c:v>
                </c:pt>
                <c:pt idx="18">
                  <c:v>2435</c:v>
                </c:pt>
                <c:pt idx="19">
                  <c:v>2453</c:v>
                </c:pt>
                <c:pt idx="20">
                  <c:v>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0-48FD-AB05-5931F419A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815992"/>
        <c:axId val="588816352"/>
      </c:barChart>
      <c:catAx>
        <c:axId val="5888159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816352"/>
        <c:crosses val="autoZero"/>
        <c:auto val="1"/>
        <c:lblAlgn val="ctr"/>
        <c:lblOffset val="100"/>
        <c:noMultiLvlLbl val="0"/>
      </c:catAx>
      <c:valAx>
        <c:axId val="5888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81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Maiores</a:t>
            </a:r>
            <a:r>
              <a:rPr lang="pt-BR" baseline="0"/>
              <a:t> rendas UF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'Maiores rendas'!$A$2:$A$11</c:f>
              <c:strCache>
                <c:ptCount val="10"/>
                <c:pt idx="0">
                  <c:v>Distrito Federal</c:v>
                </c:pt>
                <c:pt idx="1">
                  <c:v>São Paulo</c:v>
                </c:pt>
                <c:pt idx="2">
                  <c:v>Rio Grande do Sul</c:v>
                </c:pt>
                <c:pt idx="3">
                  <c:v>Santa Catarina</c:v>
                </c:pt>
                <c:pt idx="4">
                  <c:v>Rio de Janeiro</c:v>
                </c:pt>
                <c:pt idx="5">
                  <c:v>Paraná</c:v>
                </c:pt>
                <c:pt idx="6">
                  <c:v>Mato Grosso</c:v>
                </c:pt>
                <c:pt idx="7">
                  <c:v>Mato Grosso do Sul</c:v>
                </c:pt>
                <c:pt idx="8">
                  <c:v>Goiás</c:v>
                </c:pt>
                <c:pt idx="9">
                  <c:v>Espírito Santo</c:v>
                </c:pt>
              </c:strCache>
            </c:strRef>
          </c:cat>
          <c:val>
            <c:numRef>
              <c:f>'Maiores rendas'!$B$2:$B$11</c:f>
              <c:numCache>
                <c:formatCode>General</c:formatCode>
                <c:ptCount val="10"/>
                <c:pt idx="0">
                  <c:v>3531</c:v>
                </c:pt>
                <c:pt idx="1">
                  <c:v>2719</c:v>
                </c:pt>
                <c:pt idx="2">
                  <c:v>2589</c:v>
                </c:pt>
                <c:pt idx="3">
                  <c:v>2535</c:v>
                </c:pt>
                <c:pt idx="4">
                  <c:v>2399</c:v>
                </c:pt>
                <c:pt idx="5">
                  <c:v>2391</c:v>
                </c:pt>
                <c:pt idx="6">
                  <c:v>2246</c:v>
                </c:pt>
                <c:pt idx="7">
                  <c:v>2160</c:v>
                </c:pt>
                <c:pt idx="8">
                  <c:v>2127</c:v>
                </c:pt>
                <c:pt idx="9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A-4F15-B7A0-327FABA4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751592"/>
        <c:axId val="591467040"/>
      </c:barChart>
      <c:catAx>
        <c:axId val="68775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467040"/>
        <c:crosses val="autoZero"/>
        <c:auto val="1"/>
        <c:lblAlgn val="ctr"/>
        <c:lblOffset val="100"/>
        <c:noMultiLvlLbl val="0"/>
      </c:catAx>
      <c:valAx>
        <c:axId val="5914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775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3152775</xdr:colOff>
      <xdr:row>6</xdr:row>
      <xdr:rowOff>128587</xdr:rowOff>
    </xdr:from>
    <xdr:to>
      <xdr:col>3</xdr:col>
      <xdr:colOff>47625</xdr:colOff>
      <xdr:row>21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9EEACB-FB1A-BAF9-C392-004A607A4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9</xdr:row>
      <xdr:rowOff>14286</xdr:rowOff>
    </xdr:from>
    <xdr:to>
      <xdr:col>12</xdr:col>
      <xdr:colOff>85725</xdr:colOff>
      <xdr:row>25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266788-388D-7DD4-BFC2-2E629839A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738186</xdr:colOff>
      <xdr:row>2</xdr:row>
      <xdr:rowOff>185736</xdr:rowOff>
    </xdr:from>
    <xdr:to>
      <xdr:col>13</xdr:col>
      <xdr:colOff>285749</xdr:colOff>
      <xdr:row>20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262656-241A-640B-FD94-974D7DA3F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128587</xdr:colOff>
      <xdr:row>6</xdr:row>
      <xdr:rowOff>128587</xdr:rowOff>
    </xdr:from>
    <xdr:to>
      <xdr:col>10</xdr:col>
      <xdr:colOff>433387</xdr:colOff>
      <xdr:row>21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2BFA6A-148E-0F97-C2B9-EC0C12128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5.5703125" bestFit="1" customWidth="1"/>
    <col min="2" max="2" width="7" bestFit="1" customWidth="1"/>
    <col min="3" max="3" width="115.140625" bestFit="1" customWidth="1"/>
    <col min="4" max="4" width="7.42578125" bestFit="1" customWidth="1"/>
    <col min="5" max="5" width="11.140625" bestFit="1" customWidth="1"/>
    <col min="6" max="6" width="13.140625" bestFit="1" customWidth="1"/>
    <col min="7" max="7" width="18.42578125" bestFit="1" customWidth="1"/>
    <col min="8" max="8" width="18.7109375" bestFit="1" customWidth="1"/>
  </cols>
  <sheetData>
    <row r="1" spans="1:6" x14ac:dyDescent="0.25">
      <c r="A1" t="s">
        <v>0</v>
      </c>
      <c r="B1" t="s">
        <v>1</v>
      </c>
      <c r="C1" t="s">
        <v>142</v>
      </c>
      <c r="D1" t="s">
        <v>134</v>
      </c>
      <c r="E1" t="s">
        <v>8</v>
      </c>
      <c r="F1" t="s">
        <v>12</v>
      </c>
    </row>
    <row r="2" spans="1:6" x14ac:dyDescent="0.25">
      <c r="A2" t="s">
        <v>2</v>
      </c>
      <c r="B2" t="s">
        <v>3</v>
      </c>
      <c r="C2" t="s">
        <v>4</v>
      </c>
      <c r="D2">
        <v>2068</v>
      </c>
      <c r="E2">
        <f>MIN(D3:D7)</f>
        <v>1340</v>
      </c>
      <c r="F2">
        <f>MAX(D3:D7)</f>
        <v>2500</v>
      </c>
    </row>
    <row r="3" spans="1:6" x14ac:dyDescent="0.25">
      <c r="A3" t="s">
        <v>5</v>
      </c>
      <c r="B3" t="s">
        <v>3</v>
      </c>
      <c r="C3" t="s">
        <v>6</v>
      </c>
      <c r="D3">
        <v>1427</v>
      </c>
    </row>
    <row r="4" spans="1:6" x14ac:dyDescent="0.25">
      <c r="A4" t="s">
        <v>5</v>
      </c>
      <c r="B4" t="s">
        <v>7</v>
      </c>
      <c r="C4" t="s">
        <v>8</v>
      </c>
      <c r="D4">
        <v>1340</v>
      </c>
    </row>
    <row r="5" spans="1:6" x14ac:dyDescent="0.25">
      <c r="A5" t="s">
        <v>5</v>
      </c>
      <c r="B5" t="s">
        <v>9</v>
      </c>
      <c r="C5" t="s">
        <v>10</v>
      </c>
      <c r="D5">
        <v>2456</v>
      </c>
    </row>
    <row r="6" spans="1:6" x14ac:dyDescent="0.25">
      <c r="A6" t="s">
        <v>5</v>
      </c>
      <c r="B6" t="s">
        <v>11</v>
      </c>
      <c r="C6" t="s">
        <v>12</v>
      </c>
      <c r="D6">
        <v>2500</v>
      </c>
    </row>
    <row r="7" spans="1:6" x14ac:dyDescent="0.25">
      <c r="A7" t="s">
        <v>5</v>
      </c>
      <c r="B7" t="s">
        <v>13</v>
      </c>
      <c r="C7" t="s">
        <v>14</v>
      </c>
      <c r="D7">
        <v>2419</v>
      </c>
    </row>
    <row r="58" spans="1:4" x14ac:dyDescent="0.25">
      <c r="A58" s="2" t="s">
        <v>112</v>
      </c>
      <c r="B58" s="2"/>
      <c r="C58" s="2"/>
      <c r="D58" s="2"/>
    </row>
  </sheetData>
  <autoFilter ref="A1:D7" xr:uid="{00000000-0001-0000-0000-000000000000}"/>
  <sortState xmlns:xlrd2="http://schemas.microsoft.com/office/spreadsheetml/2017/richdata2" ref="B9:D35">
    <sortCondition ref="B9:B35"/>
  </sortState>
  <mergeCells count="1">
    <mergeCell ref="A58:D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1C3D-179B-45C6-9229-E1702BDE8034}">
  <dimension ref="A1:C31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1.140625" bestFit="1" customWidth="1"/>
    <col min="4" max="4" width="11.140625" bestFit="1" customWidth="1"/>
    <col min="5" max="5" width="14.85546875" bestFit="1" customWidth="1"/>
    <col min="6" max="6" width="9.85546875" bestFit="1" customWidth="1"/>
    <col min="7" max="7" width="14.85546875" bestFit="1" customWidth="1"/>
  </cols>
  <sheetData>
    <row r="1" spans="1:3" x14ac:dyDescent="0.25">
      <c r="A1" t="s">
        <v>137</v>
      </c>
      <c r="B1" t="s">
        <v>15</v>
      </c>
      <c r="C1" t="s">
        <v>134</v>
      </c>
    </row>
    <row r="2" spans="1:3" x14ac:dyDescent="0.25">
      <c r="A2" t="s">
        <v>18</v>
      </c>
      <c r="B2" t="s">
        <v>19</v>
      </c>
      <c r="C2">
        <v>1277</v>
      </c>
    </row>
    <row r="3" spans="1:3" x14ac:dyDescent="0.25">
      <c r="A3" t="s">
        <v>42</v>
      </c>
      <c r="B3" t="s">
        <v>43</v>
      </c>
      <c r="C3">
        <v>1303</v>
      </c>
    </row>
    <row r="4" spans="1:3" x14ac:dyDescent="0.25">
      <c r="A4" t="s">
        <v>26</v>
      </c>
      <c r="B4" t="s">
        <v>27</v>
      </c>
      <c r="C4">
        <v>1482</v>
      </c>
    </row>
    <row r="5" spans="1:3" x14ac:dyDescent="0.25">
      <c r="A5" t="s">
        <v>20</v>
      </c>
      <c r="B5" t="s">
        <v>21</v>
      </c>
      <c r="C5">
        <v>1268</v>
      </c>
    </row>
    <row r="6" spans="1:3" x14ac:dyDescent="0.25">
      <c r="A6" t="s">
        <v>46</v>
      </c>
      <c r="B6" t="s">
        <v>47</v>
      </c>
      <c r="C6">
        <v>1340</v>
      </c>
    </row>
    <row r="7" spans="1:3" x14ac:dyDescent="0.25">
      <c r="A7" t="s">
        <v>34</v>
      </c>
      <c r="B7" t="s">
        <v>35</v>
      </c>
      <c r="C7">
        <v>1247</v>
      </c>
    </row>
    <row r="8" spans="1:3" x14ac:dyDescent="0.25">
      <c r="A8" t="s">
        <v>68</v>
      </c>
      <c r="B8" t="s">
        <v>69</v>
      </c>
      <c r="C8">
        <v>3531</v>
      </c>
    </row>
    <row r="9" spans="1:3" x14ac:dyDescent="0.25">
      <c r="A9" t="s">
        <v>50</v>
      </c>
      <c r="B9" t="s">
        <v>51</v>
      </c>
      <c r="C9">
        <v>2071</v>
      </c>
    </row>
    <row r="10" spans="1:3" x14ac:dyDescent="0.25">
      <c r="A10" t="s">
        <v>66</v>
      </c>
      <c r="B10" t="s">
        <v>67</v>
      </c>
      <c r="C10">
        <v>2127</v>
      </c>
    </row>
    <row r="11" spans="1:3" x14ac:dyDescent="0.25">
      <c r="A11" t="s">
        <v>30</v>
      </c>
      <c r="B11" t="s">
        <v>31</v>
      </c>
      <c r="C11">
        <v>1103</v>
      </c>
    </row>
    <row r="12" spans="1:3" x14ac:dyDescent="0.25">
      <c r="A12" t="s">
        <v>64</v>
      </c>
      <c r="B12" t="s">
        <v>65</v>
      </c>
      <c r="C12">
        <v>2246</v>
      </c>
    </row>
    <row r="13" spans="1:3" x14ac:dyDescent="0.25">
      <c r="A13" t="s">
        <v>62</v>
      </c>
      <c r="B13" t="s">
        <v>63</v>
      </c>
      <c r="C13">
        <v>2160</v>
      </c>
    </row>
    <row r="14" spans="1:3" x14ac:dyDescent="0.25">
      <c r="A14" t="s">
        <v>48</v>
      </c>
      <c r="B14" t="s">
        <v>49</v>
      </c>
      <c r="C14">
        <v>2001</v>
      </c>
    </row>
    <row r="15" spans="1:3" x14ac:dyDescent="0.25">
      <c r="A15" t="s">
        <v>24</v>
      </c>
      <c r="B15" t="s">
        <v>25</v>
      </c>
      <c r="C15">
        <v>1364</v>
      </c>
    </row>
    <row r="16" spans="1:3" x14ac:dyDescent="0.25">
      <c r="A16" t="s">
        <v>38</v>
      </c>
      <c r="B16" t="s">
        <v>39</v>
      </c>
      <c r="C16">
        <v>1409</v>
      </c>
    </row>
    <row r="17" spans="1:3" x14ac:dyDescent="0.25">
      <c r="A17" t="s">
        <v>56</v>
      </c>
      <c r="B17" t="s">
        <v>57</v>
      </c>
      <c r="C17">
        <v>2391</v>
      </c>
    </row>
    <row r="18" spans="1:3" x14ac:dyDescent="0.25">
      <c r="A18" t="s">
        <v>40</v>
      </c>
      <c r="B18" t="s">
        <v>41</v>
      </c>
      <c r="C18">
        <v>1448</v>
      </c>
    </row>
    <row r="19" spans="1:3" x14ac:dyDescent="0.25">
      <c r="A19" t="s">
        <v>32</v>
      </c>
      <c r="B19" t="s">
        <v>33</v>
      </c>
      <c r="C19">
        <v>1427</v>
      </c>
    </row>
    <row r="20" spans="1:3" x14ac:dyDescent="0.25">
      <c r="A20" t="s">
        <v>52</v>
      </c>
      <c r="B20" t="s">
        <v>53</v>
      </c>
      <c r="C20">
        <v>2399</v>
      </c>
    </row>
    <row r="21" spans="1:3" x14ac:dyDescent="0.25">
      <c r="A21" t="s">
        <v>36</v>
      </c>
      <c r="B21" t="s">
        <v>37</v>
      </c>
      <c r="C21">
        <v>1542</v>
      </c>
    </row>
    <row r="22" spans="1:3" x14ac:dyDescent="0.25">
      <c r="A22" t="s">
        <v>60</v>
      </c>
      <c r="B22" t="s">
        <v>61</v>
      </c>
      <c r="C22">
        <v>2589</v>
      </c>
    </row>
    <row r="23" spans="1:3" x14ac:dyDescent="0.25">
      <c r="A23" t="s">
        <v>16</v>
      </c>
      <c r="B23" t="s">
        <v>17</v>
      </c>
      <c r="C23">
        <v>1750</v>
      </c>
    </row>
    <row r="24" spans="1:3" x14ac:dyDescent="0.25">
      <c r="A24" t="s">
        <v>22</v>
      </c>
      <c r="B24" t="s">
        <v>23</v>
      </c>
      <c r="C24">
        <v>1630</v>
      </c>
    </row>
    <row r="25" spans="1:3" x14ac:dyDescent="0.25">
      <c r="A25" t="s">
        <v>58</v>
      </c>
      <c r="B25" t="s">
        <v>59</v>
      </c>
      <c r="C25">
        <v>2535</v>
      </c>
    </row>
    <row r="26" spans="1:3" x14ac:dyDescent="0.25">
      <c r="A26" t="s">
        <v>54</v>
      </c>
      <c r="B26" t="s">
        <v>55</v>
      </c>
      <c r="C26">
        <v>2719</v>
      </c>
    </row>
    <row r="27" spans="1:3" x14ac:dyDescent="0.25">
      <c r="A27" t="s">
        <v>44</v>
      </c>
      <c r="B27" t="s">
        <v>45</v>
      </c>
      <c r="C27">
        <v>1480</v>
      </c>
    </row>
    <row r="28" spans="1:3" x14ac:dyDescent="0.25">
      <c r="A28" t="s">
        <v>28</v>
      </c>
      <c r="B28" t="s">
        <v>29</v>
      </c>
      <c r="C28">
        <v>1795</v>
      </c>
    </row>
    <row r="29" spans="1:3" x14ac:dyDescent="0.25">
      <c r="A29" t="s">
        <v>131</v>
      </c>
      <c r="B29" t="s">
        <v>4</v>
      </c>
      <c r="C29">
        <f>AVERAGE(C2:C28)</f>
        <v>1838.2962962962963</v>
      </c>
    </row>
    <row r="30" spans="1:3" x14ac:dyDescent="0.25">
      <c r="A30" t="s">
        <v>138</v>
      </c>
      <c r="B30" t="s">
        <v>31</v>
      </c>
      <c r="C30">
        <f>MIN(C2:C28)</f>
        <v>1103</v>
      </c>
    </row>
    <row r="31" spans="1:3" x14ac:dyDescent="0.25">
      <c r="A31" t="s">
        <v>133</v>
      </c>
      <c r="B31" t="s">
        <v>139</v>
      </c>
      <c r="C31">
        <f>MAX(C2:C28)</f>
        <v>3531</v>
      </c>
    </row>
  </sheetData>
  <autoFilter ref="A1:C28" xr:uid="{15541C3D-179B-45C6-9229-E1702BDE8034}"/>
  <sortState xmlns:xlrd2="http://schemas.microsoft.com/office/spreadsheetml/2017/richdata2" ref="A2:C28">
    <sortCondition ref="B2:B28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9DDE-4F87-481D-9E37-7C836F51DB99}">
  <dimension ref="A1:C25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2" max="2" width="22.42578125" bestFit="1" customWidth="1"/>
    <col min="4" max="4" width="11.140625" bestFit="1" customWidth="1"/>
    <col min="6" max="6" width="12.5703125" bestFit="1" customWidth="1"/>
  </cols>
  <sheetData>
    <row r="1" spans="1:3" x14ac:dyDescent="0.25">
      <c r="A1" s="1" t="s">
        <v>137</v>
      </c>
      <c r="B1" s="1" t="s">
        <v>130</v>
      </c>
      <c r="C1" s="1" t="s">
        <v>140</v>
      </c>
    </row>
    <row r="2" spans="1:3" x14ac:dyDescent="0.25">
      <c r="A2" t="s">
        <v>70</v>
      </c>
      <c r="B2" t="s">
        <v>71</v>
      </c>
      <c r="C2">
        <v>1513</v>
      </c>
    </row>
    <row r="3" spans="1:3" x14ac:dyDescent="0.25">
      <c r="A3" t="s">
        <v>72</v>
      </c>
      <c r="B3" t="s">
        <v>73</v>
      </c>
      <c r="C3">
        <v>1919</v>
      </c>
    </row>
    <row r="4" spans="1:3" x14ac:dyDescent="0.25">
      <c r="A4" t="s">
        <v>74</v>
      </c>
      <c r="B4" t="s">
        <v>75</v>
      </c>
      <c r="C4">
        <v>1604</v>
      </c>
    </row>
    <row r="5" spans="1:3" x14ac:dyDescent="0.25">
      <c r="A5" t="s">
        <v>76</v>
      </c>
      <c r="B5" t="s">
        <v>77</v>
      </c>
      <c r="C5">
        <v>1564</v>
      </c>
    </row>
    <row r="6" spans="1:3" x14ac:dyDescent="0.25">
      <c r="A6" t="s">
        <v>78</v>
      </c>
      <c r="B6" t="s">
        <v>79</v>
      </c>
      <c r="C6">
        <v>1587</v>
      </c>
    </row>
    <row r="7" spans="1:3" x14ac:dyDescent="0.25">
      <c r="A7" t="s">
        <v>80</v>
      </c>
      <c r="B7" t="s">
        <v>81</v>
      </c>
      <c r="C7">
        <v>1974</v>
      </c>
    </row>
    <row r="8" spans="1:3" x14ac:dyDescent="0.25">
      <c r="A8" t="s">
        <v>82</v>
      </c>
      <c r="B8" t="s">
        <v>83</v>
      </c>
      <c r="C8">
        <v>1999</v>
      </c>
    </row>
    <row r="9" spans="1:3" x14ac:dyDescent="0.25">
      <c r="A9" t="s">
        <v>84</v>
      </c>
      <c r="B9" t="s">
        <v>85</v>
      </c>
      <c r="C9">
        <v>1911</v>
      </c>
    </row>
    <row r="10" spans="1:3" x14ac:dyDescent="0.25">
      <c r="A10" t="s">
        <v>86</v>
      </c>
      <c r="B10" t="s">
        <v>87</v>
      </c>
      <c r="C10">
        <v>1762</v>
      </c>
    </row>
    <row r="11" spans="1:3" x14ac:dyDescent="0.25">
      <c r="A11" t="s">
        <v>88</v>
      </c>
      <c r="B11" t="s">
        <v>89</v>
      </c>
      <c r="C11">
        <v>2026</v>
      </c>
    </row>
    <row r="12" spans="1:3" x14ac:dyDescent="0.25">
      <c r="A12" t="s">
        <v>90</v>
      </c>
      <c r="B12" t="s">
        <v>91</v>
      </c>
      <c r="C12">
        <v>1830</v>
      </c>
    </row>
    <row r="13" spans="1:3" x14ac:dyDescent="0.25">
      <c r="A13" t="s">
        <v>92</v>
      </c>
      <c r="B13" t="s">
        <v>93</v>
      </c>
      <c r="C13">
        <v>2520</v>
      </c>
    </row>
    <row r="14" spans="1:3" x14ac:dyDescent="0.25">
      <c r="A14" t="s">
        <v>94</v>
      </c>
      <c r="B14" t="s">
        <v>95</v>
      </c>
      <c r="C14">
        <v>2503</v>
      </c>
    </row>
    <row r="15" spans="1:3" x14ac:dyDescent="0.25">
      <c r="A15" t="s">
        <v>96</v>
      </c>
      <c r="B15" t="s">
        <v>97</v>
      </c>
      <c r="C15">
        <v>2630</v>
      </c>
    </row>
    <row r="16" spans="1:3" x14ac:dyDescent="0.25">
      <c r="A16" t="s">
        <v>98</v>
      </c>
      <c r="B16" t="s">
        <v>99</v>
      </c>
      <c r="C16">
        <v>3163</v>
      </c>
    </row>
    <row r="17" spans="1:3" x14ac:dyDescent="0.25">
      <c r="A17" t="s">
        <v>100</v>
      </c>
      <c r="B17" t="s">
        <v>101</v>
      </c>
      <c r="C17">
        <v>3015</v>
      </c>
    </row>
    <row r="18" spans="1:3" x14ac:dyDescent="0.25">
      <c r="A18" t="s">
        <v>102</v>
      </c>
      <c r="B18" t="s">
        <v>103</v>
      </c>
      <c r="C18">
        <v>3418</v>
      </c>
    </row>
    <row r="19" spans="1:3" x14ac:dyDescent="0.25">
      <c r="A19" t="s">
        <v>104</v>
      </c>
      <c r="B19" t="s">
        <v>105</v>
      </c>
      <c r="C19">
        <v>2959</v>
      </c>
    </row>
    <row r="20" spans="1:3" x14ac:dyDescent="0.25">
      <c r="A20" t="s">
        <v>106</v>
      </c>
      <c r="B20" t="s">
        <v>107</v>
      </c>
      <c r="C20">
        <v>2435</v>
      </c>
    </row>
    <row r="21" spans="1:3" x14ac:dyDescent="0.25">
      <c r="A21" t="s">
        <v>108</v>
      </c>
      <c r="B21" t="s">
        <v>109</v>
      </c>
      <c r="C21">
        <v>2453</v>
      </c>
    </row>
    <row r="22" spans="1:3" x14ac:dyDescent="0.25">
      <c r="A22" t="s">
        <v>110</v>
      </c>
      <c r="B22" t="s">
        <v>111</v>
      </c>
      <c r="C22">
        <v>1948</v>
      </c>
    </row>
    <row r="23" spans="1:3" x14ac:dyDescent="0.25">
      <c r="A23" t="s">
        <v>141</v>
      </c>
      <c r="C23">
        <f>AVERAGE(C2:C22)</f>
        <v>2225.3809523809523</v>
      </c>
    </row>
    <row r="24" spans="1:3" x14ac:dyDescent="0.25">
      <c r="A24" t="s">
        <v>132</v>
      </c>
      <c r="B24" t="s">
        <v>71</v>
      </c>
      <c r="C24">
        <f>MIN(C2:C22)</f>
        <v>1513</v>
      </c>
    </row>
    <row r="25" spans="1:3" x14ac:dyDescent="0.25">
      <c r="A25" t="s">
        <v>133</v>
      </c>
      <c r="B25" t="s">
        <v>103</v>
      </c>
      <c r="C25">
        <f>MAX(C2:C22)</f>
        <v>3418</v>
      </c>
    </row>
  </sheetData>
  <autoFilter ref="A1:C25" xr:uid="{36759DDE-4F87-481D-9E37-7C836F51DB99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16DA-C40B-45B6-A317-77A54881D93C}">
  <dimension ref="A1:B28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19.28515625" bestFit="1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69</v>
      </c>
      <c r="B2">
        <v>3531</v>
      </c>
    </row>
    <row r="3" spans="1:2" x14ac:dyDescent="0.25">
      <c r="A3" t="s">
        <v>55</v>
      </c>
      <c r="B3">
        <v>2719</v>
      </c>
    </row>
    <row r="4" spans="1:2" x14ac:dyDescent="0.25">
      <c r="A4" t="s">
        <v>61</v>
      </c>
      <c r="B4">
        <v>2589</v>
      </c>
    </row>
    <row r="5" spans="1:2" x14ac:dyDescent="0.25">
      <c r="A5" t="s">
        <v>59</v>
      </c>
      <c r="B5">
        <v>2535</v>
      </c>
    </row>
    <row r="6" spans="1:2" x14ac:dyDescent="0.25">
      <c r="A6" t="s">
        <v>53</v>
      </c>
      <c r="B6">
        <v>2399</v>
      </c>
    </row>
    <row r="7" spans="1:2" x14ac:dyDescent="0.25">
      <c r="A7" t="s">
        <v>57</v>
      </c>
      <c r="B7">
        <v>2391</v>
      </c>
    </row>
    <row r="8" spans="1:2" x14ac:dyDescent="0.25">
      <c r="A8" t="s">
        <v>65</v>
      </c>
      <c r="B8">
        <v>2246</v>
      </c>
    </row>
    <row r="9" spans="1:2" x14ac:dyDescent="0.25">
      <c r="A9" t="s">
        <v>63</v>
      </c>
      <c r="B9">
        <v>2160</v>
      </c>
    </row>
    <row r="10" spans="1:2" x14ac:dyDescent="0.25">
      <c r="A10" t="s">
        <v>67</v>
      </c>
      <c r="B10">
        <v>2127</v>
      </c>
    </row>
    <row r="11" spans="1:2" x14ac:dyDescent="0.25">
      <c r="A11" t="s">
        <v>51</v>
      </c>
      <c r="B11">
        <v>2071</v>
      </c>
    </row>
    <row r="12" spans="1:2" x14ac:dyDescent="0.25">
      <c r="A12" t="s">
        <v>49</v>
      </c>
      <c r="B12">
        <v>2001</v>
      </c>
    </row>
    <row r="13" spans="1:2" x14ac:dyDescent="0.25">
      <c r="A13" t="s">
        <v>29</v>
      </c>
      <c r="B13">
        <v>1795</v>
      </c>
    </row>
    <row r="14" spans="1:2" x14ac:dyDescent="0.25">
      <c r="A14" t="s">
        <v>17</v>
      </c>
      <c r="B14">
        <v>1750</v>
      </c>
    </row>
    <row r="15" spans="1:2" x14ac:dyDescent="0.25">
      <c r="A15" t="s">
        <v>23</v>
      </c>
      <c r="B15">
        <v>1630</v>
      </c>
    </row>
    <row r="16" spans="1:2" x14ac:dyDescent="0.25">
      <c r="A16" t="s">
        <v>37</v>
      </c>
      <c r="B16">
        <v>1542</v>
      </c>
    </row>
    <row r="17" spans="1:2" x14ac:dyDescent="0.25">
      <c r="A17" t="s">
        <v>27</v>
      </c>
      <c r="B17">
        <v>1482</v>
      </c>
    </row>
    <row r="18" spans="1:2" x14ac:dyDescent="0.25">
      <c r="A18" t="s">
        <v>45</v>
      </c>
      <c r="B18">
        <v>1480</v>
      </c>
    </row>
    <row r="19" spans="1:2" x14ac:dyDescent="0.25">
      <c r="A19" t="s">
        <v>41</v>
      </c>
      <c r="B19">
        <v>1448</v>
      </c>
    </row>
    <row r="20" spans="1:2" x14ac:dyDescent="0.25">
      <c r="A20" t="s">
        <v>33</v>
      </c>
      <c r="B20">
        <v>1427</v>
      </c>
    </row>
    <row r="21" spans="1:2" x14ac:dyDescent="0.25">
      <c r="A21" t="s">
        <v>39</v>
      </c>
      <c r="B21">
        <v>1409</v>
      </c>
    </row>
    <row r="22" spans="1:2" x14ac:dyDescent="0.25">
      <c r="A22" t="s">
        <v>25</v>
      </c>
      <c r="B22">
        <v>1364</v>
      </c>
    </row>
    <row r="23" spans="1:2" x14ac:dyDescent="0.25">
      <c r="A23" t="s">
        <v>47</v>
      </c>
      <c r="B23">
        <v>1340</v>
      </c>
    </row>
    <row r="24" spans="1:2" x14ac:dyDescent="0.25">
      <c r="A24" t="s">
        <v>43</v>
      </c>
      <c r="B24">
        <v>1303</v>
      </c>
    </row>
    <row r="25" spans="1:2" x14ac:dyDescent="0.25">
      <c r="A25" t="s">
        <v>19</v>
      </c>
      <c r="B25">
        <v>1277</v>
      </c>
    </row>
    <row r="26" spans="1:2" x14ac:dyDescent="0.25">
      <c r="A26" t="s">
        <v>21</v>
      </c>
      <c r="B26">
        <v>1268</v>
      </c>
    </row>
    <row r="27" spans="1:2" x14ac:dyDescent="0.25">
      <c r="A27" t="s">
        <v>35</v>
      </c>
      <c r="B27">
        <v>1247</v>
      </c>
    </row>
    <row r="28" spans="1:2" x14ac:dyDescent="0.25">
      <c r="A28" t="s">
        <v>31</v>
      </c>
      <c r="B28">
        <v>1103</v>
      </c>
    </row>
  </sheetData>
  <autoFilter ref="A1:B1" xr:uid="{7B5116DA-C40B-45B6-A317-77A54881D93C}"/>
  <sortState xmlns:xlrd2="http://schemas.microsoft.com/office/spreadsheetml/2017/richdata2" ref="A2:B28">
    <sortCondition descending="1" ref="B2:B28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"/>
    </sheetView>
  </sheetViews>
  <sheetFormatPr defaultRowHeight="15" x14ac:dyDescent="0.25"/>
  <sheetData>
    <row r="1" spans="1:2" x14ac:dyDescent="0.25">
      <c r="A1" s="2" t="s">
        <v>113</v>
      </c>
      <c r="B1" s="2"/>
    </row>
    <row r="2" spans="1:2" x14ac:dyDescent="0.25">
      <c r="A2" s="2" t="s">
        <v>114</v>
      </c>
      <c r="B2" s="2"/>
    </row>
    <row r="3" spans="1:2" x14ac:dyDescent="0.25">
      <c r="A3" s="2"/>
      <c r="B3" s="2"/>
    </row>
    <row r="4" spans="1:2" x14ac:dyDescent="0.25">
      <c r="A4" s="2" t="s">
        <v>115</v>
      </c>
      <c r="B4" s="2"/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 t="s">
        <v>125</v>
      </c>
    </row>
    <row r="10" spans="1:2" x14ac:dyDescent="0.25">
      <c r="A10" t="s">
        <v>126</v>
      </c>
      <c r="B10" t="s">
        <v>127</v>
      </c>
    </row>
    <row r="11" spans="1:2" x14ac:dyDescent="0.25">
      <c r="A11" t="s">
        <v>128</v>
      </c>
      <c r="B11" t="s">
        <v>129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Regiões</vt:lpstr>
      <vt:lpstr>Estados</vt:lpstr>
      <vt:lpstr>Capitais</vt:lpstr>
      <vt:lpstr>Maiores rendas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Pedro lima</cp:lastModifiedBy>
  <dcterms:created xsi:type="dcterms:W3CDTF">2026-05-30T11:21:16Z</dcterms:created>
  <dcterms:modified xsi:type="dcterms:W3CDTF">2026-05-30T19:29:11Z</dcterms:modified>
</cp:coreProperties>
</file>